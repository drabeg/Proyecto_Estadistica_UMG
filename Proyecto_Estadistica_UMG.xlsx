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 y Estadís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2" customWidth="1" min="4" max="4"/>
    <col width="18" customWidth="1" min="5" max="5"/>
    <col width="16" customWidth="1" min="6" max="6"/>
    <col width="12" customWidth="1" min="7" max="7"/>
    <col width="12" customWidth="1" min="8" max="8"/>
    <col width="31" customWidth="1" min="9" max="9"/>
    <col width="27" customWidth="1" min="10" max="10"/>
  </cols>
  <sheetData>
    <row r="1">
      <c r="A1" s="1" t="inlineStr">
        <is>
          <t>ANÁLISIS ESTADÍSTICO DE RENDIMIENTO DE INTERNET - UMG</t>
        </is>
      </c>
    </row>
    <row r="2"/>
    <row r="3">
      <c r="A3" s="2" t="inlineStr">
        <is>
          <t>No.</t>
        </is>
      </c>
      <c r="B3" s="2" t="inlineStr">
        <is>
          <t>Fecha</t>
        </is>
      </c>
      <c r="C3" s="2" t="inlineStr">
        <is>
          <t>Hora</t>
        </is>
      </c>
      <c r="D3" s="2" t="inlineStr">
        <is>
          <t>Horario</t>
        </is>
      </c>
      <c r="E3" s="2" t="inlineStr">
        <is>
          <t>Descarga (Mbps)</t>
        </is>
      </c>
      <c r="F3" s="2" t="inlineStr">
        <is>
          <t>Subida (Mbps)</t>
        </is>
      </c>
      <c r="G3" s="2" t="inlineStr">
        <is>
          <t>Ping (ms)</t>
        </is>
      </c>
      <c r="I3" s="3" t="inlineStr">
        <is>
          <t>Medida Estadística</t>
        </is>
      </c>
      <c r="J3" s="3" t="inlineStr">
        <is>
          <t>Fórmula / Valor</t>
        </is>
      </c>
    </row>
    <row r="4">
      <c r="A4" s="4" t="n">
        <v>1</v>
      </c>
      <c r="B4" s="4" t="inlineStr">
        <is>
          <t>25/08/2026</t>
        </is>
      </c>
      <c r="C4" s="4" t="inlineStr">
        <is>
          <t>9:00</t>
        </is>
      </c>
      <c r="D4" s="4" t="inlineStr">
        <is>
          <t>mañana</t>
        </is>
      </c>
      <c r="E4" s="5" t="n">
        <v>73.42</v>
      </c>
      <c r="F4" s="5" t="n">
        <v>10.13</v>
      </c>
      <c r="G4" s="6" t="n">
        <v>15</v>
      </c>
      <c r="I4" s="7" t="inlineStr">
        <is>
          <t>Cantidad de datos (n)</t>
        </is>
      </c>
      <c r="J4" s="6">
        <f>COUNT(E4:E33)</f>
        <v/>
      </c>
    </row>
    <row r="5">
      <c r="A5" s="4" t="n">
        <v>2</v>
      </c>
      <c r="B5" s="4" t="inlineStr">
        <is>
          <t>25/08/2026</t>
        </is>
      </c>
      <c r="C5" s="4" t="inlineStr">
        <is>
          <t>14:12</t>
        </is>
      </c>
      <c r="D5" s="4" t="inlineStr">
        <is>
          <t>tarde</t>
        </is>
      </c>
      <c r="E5" s="5" t="n">
        <v>82.8</v>
      </c>
      <c r="F5" s="5" t="n">
        <v>10.08</v>
      </c>
      <c r="G5" s="6" t="n">
        <v>12</v>
      </c>
      <c r="I5" s="7" t="inlineStr">
        <is>
          <t>Media (Mbps)</t>
        </is>
      </c>
      <c r="J5" s="5">
        <f>AVERAGE(E4:E33)</f>
        <v/>
      </c>
    </row>
    <row r="6">
      <c r="A6" s="4" t="n">
        <v>3</v>
      </c>
      <c r="B6" s="4" t="inlineStr">
        <is>
          <t>25/08/2026</t>
        </is>
      </c>
      <c r="C6" s="4" t="inlineStr">
        <is>
          <t>20:25</t>
        </is>
      </c>
      <c r="D6" s="4" t="inlineStr">
        <is>
          <t>noche</t>
        </is>
      </c>
      <c r="E6" s="5" t="n">
        <v>80.05</v>
      </c>
      <c r="F6" s="5" t="n">
        <v>10.04</v>
      </c>
      <c r="G6" s="6" t="n">
        <v>14</v>
      </c>
      <c r="I6" s="7" t="inlineStr">
        <is>
          <t>Mediana (Mbps)</t>
        </is>
      </c>
      <c r="J6" s="5">
        <f>MEDIAN(E4:E33)</f>
        <v/>
      </c>
    </row>
    <row r="7">
      <c r="A7" s="4" t="n">
        <v>4</v>
      </c>
      <c r="B7" s="4" t="inlineStr">
        <is>
          <t>26/08/2026</t>
        </is>
      </c>
      <c r="C7" s="4" t="inlineStr">
        <is>
          <t>8:30</t>
        </is>
      </c>
      <c r="D7" s="4" t="inlineStr">
        <is>
          <t>mañana</t>
        </is>
      </c>
      <c r="E7" s="5" t="n">
        <v>82.69</v>
      </c>
      <c r="F7" s="5" t="n">
        <v>10.11</v>
      </c>
      <c r="G7" s="6" t="n">
        <v>13</v>
      </c>
      <c r="I7" s="7" t="inlineStr">
        <is>
          <t>Moda (Mbps)</t>
        </is>
      </c>
      <c r="J7" s="5">
        <f>MODE.SNGL(E4:E33)</f>
        <v/>
      </c>
    </row>
    <row r="8">
      <c r="A8" s="4" t="n">
        <v>5</v>
      </c>
      <c r="B8" s="4" t="inlineStr">
        <is>
          <t>26/08/2026</t>
        </is>
      </c>
      <c r="C8" s="4" t="inlineStr">
        <is>
          <t>14:50</t>
        </is>
      </c>
      <c r="D8" s="4" t="inlineStr">
        <is>
          <t>tarde</t>
        </is>
      </c>
      <c r="E8" s="5" t="n">
        <v>82.42</v>
      </c>
      <c r="F8" s="5" t="n">
        <v>9.9</v>
      </c>
      <c r="G8" s="6" t="n">
        <v>12</v>
      </c>
      <c r="I8" s="7" t="inlineStr">
        <is>
          <t>Valor Mínimo (Mbps)</t>
        </is>
      </c>
      <c r="J8" s="5">
        <f>MIN(E4:E33)</f>
        <v/>
      </c>
    </row>
    <row r="9">
      <c r="A9" s="4" t="n">
        <v>6</v>
      </c>
      <c r="B9" s="4" t="inlineStr">
        <is>
          <t>26/08/2026</t>
        </is>
      </c>
      <c r="C9" s="4" t="inlineStr">
        <is>
          <t>19:08</t>
        </is>
      </c>
      <c r="D9" s="4" t="inlineStr">
        <is>
          <t>noche</t>
        </is>
      </c>
      <c r="E9" s="5" t="n">
        <v>82.25</v>
      </c>
      <c r="F9" s="5" t="n">
        <v>10.01</v>
      </c>
      <c r="G9" s="6" t="n">
        <v>12</v>
      </c>
      <c r="I9" s="7" t="inlineStr">
        <is>
          <t>Valor Máximo (Mbps)</t>
        </is>
      </c>
      <c r="J9" s="5">
        <f>MAX(E4:E33)</f>
        <v/>
      </c>
    </row>
    <row r="10">
      <c r="A10" s="4" t="n">
        <v>7</v>
      </c>
      <c r="B10" s="4" t="inlineStr">
        <is>
          <t>28/08/2026</t>
        </is>
      </c>
      <c r="C10" s="4" t="inlineStr">
        <is>
          <t>10:16</t>
        </is>
      </c>
      <c r="D10" s="4" t="inlineStr">
        <is>
          <t>mañana</t>
        </is>
      </c>
      <c r="E10" s="5" t="n">
        <v>74.61</v>
      </c>
      <c r="F10" s="5" t="n">
        <v>10.08</v>
      </c>
      <c r="G10" s="6" t="n">
        <v>12</v>
      </c>
      <c r="I10" s="7" t="inlineStr">
        <is>
          <t>Rango (Mbps)</t>
        </is>
      </c>
      <c r="J10" s="5">
        <f>J9-J8</f>
        <v/>
      </c>
    </row>
    <row r="11">
      <c r="A11" s="4" t="n">
        <v>8</v>
      </c>
      <c r="B11" s="4" t="inlineStr">
        <is>
          <t>28/08/2026</t>
        </is>
      </c>
      <c r="C11" s="4" t="inlineStr">
        <is>
          <t>16:53</t>
        </is>
      </c>
      <c r="D11" s="4" t="inlineStr">
        <is>
          <t>tarde</t>
        </is>
      </c>
      <c r="E11" s="5" t="n">
        <v>80.56999999999999</v>
      </c>
      <c r="F11" s="5" t="n">
        <v>9.69</v>
      </c>
      <c r="G11" s="6" t="n">
        <v>17</v>
      </c>
      <c r="I11" s="7" t="inlineStr">
        <is>
          <t>Varianza Muestral</t>
        </is>
      </c>
      <c r="J11" s="5">
        <f>VAR.S(E4:E33)</f>
        <v/>
      </c>
    </row>
    <row r="12">
      <c r="A12" s="4" t="n">
        <v>9</v>
      </c>
      <c r="B12" s="4" t="inlineStr">
        <is>
          <t>28/08/2026</t>
        </is>
      </c>
      <c r="C12" s="4" t="inlineStr">
        <is>
          <t>23:55</t>
        </is>
      </c>
      <c r="D12" s="4" t="inlineStr">
        <is>
          <t>noche</t>
        </is>
      </c>
      <c r="E12" s="5" t="n">
        <v>82.16</v>
      </c>
      <c r="F12" s="5" t="n">
        <v>10.07</v>
      </c>
      <c r="G12" s="6" t="n">
        <v>11</v>
      </c>
      <c r="I12" s="7" t="inlineStr">
        <is>
          <t>Desviación Estándar (Mbps)</t>
        </is>
      </c>
      <c r="J12" s="5">
        <f>STDEV.S(E4:E33)</f>
        <v/>
      </c>
    </row>
    <row r="13">
      <c r="A13" s="4" t="n">
        <v>10</v>
      </c>
      <c r="B13" s="4" t="inlineStr">
        <is>
          <t>03/09/2026</t>
        </is>
      </c>
      <c r="C13" s="4" t="inlineStr">
        <is>
          <t>11:00</t>
        </is>
      </c>
      <c r="D13" s="4" t="inlineStr">
        <is>
          <t>mañana</t>
        </is>
      </c>
      <c r="E13" s="5" t="n">
        <v>82.51000000000001</v>
      </c>
      <c r="F13" s="5" t="n">
        <v>10.11</v>
      </c>
      <c r="G13" s="6" t="n">
        <v>12</v>
      </c>
      <c r="I13" s="7" t="inlineStr">
        <is>
          <t>Coeficiente de Variación (%)</t>
        </is>
      </c>
      <c r="J13" s="8">
        <f>(J12/J5)*100</f>
        <v/>
      </c>
    </row>
    <row r="14">
      <c r="A14" s="4" t="n">
        <v>11</v>
      </c>
      <c r="B14" s="4" t="inlineStr">
        <is>
          <t>03/09/2026</t>
        </is>
      </c>
      <c r="C14" s="4" t="inlineStr">
        <is>
          <t>15:53</t>
        </is>
      </c>
      <c r="D14" s="4" t="inlineStr">
        <is>
          <t>tarde</t>
        </is>
      </c>
      <c r="E14" s="5" t="n">
        <v>74.53</v>
      </c>
      <c r="F14" s="5" t="n">
        <v>9.99</v>
      </c>
      <c r="G14" s="6" t="n">
        <v>17</v>
      </c>
      <c r="I14" s="7" t="inlineStr">
        <is>
          <t>Cuartil 1 (Q1 - Mbps)</t>
        </is>
      </c>
      <c r="J14" s="5">
        <f>QUARTILE.INC(E4:E33, 1)</f>
        <v/>
      </c>
    </row>
    <row r="15">
      <c r="A15" s="4" t="n">
        <v>12</v>
      </c>
      <c r="B15" s="4" t="inlineStr">
        <is>
          <t>03/09/2026</t>
        </is>
      </c>
      <c r="C15" s="4" t="inlineStr">
        <is>
          <t>nan</t>
        </is>
      </c>
      <c r="D15" s="4" t="inlineStr">
        <is>
          <t>noche</t>
        </is>
      </c>
      <c r="E15" s="5" t="n">
        <v>80.34</v>
      </c>
      <c r="F15" s="5" t="n">
        <v>10.04</v>
      </c>
      <c r="G15" s="6" t="n">
        <v>13</v>
      </c>
      <c r="I15" s="7" t="inlineStr">
        <is>
          <t>Cuartil 2 (Q2 - Mbps)</t>
        </is>
      </c>
      <c r="J15" s="5">
        <f>QUARTILE.INC(E4:E33, 2)</f>
        <v/>
      </c>
    </row>
    <row r="16">
      <c r="A16" s="4" t="n">
        <v>13</v>
      </c>
      <c r="B16" s="4" t="inlineStr">
        <is>
          <t>08/09/2026</t>
        </is>
      </c>
      <c r="C16" s="4" t="inlineStr">
        <is>
          <t>8:33</t>
        </is>
      </c>
      <c r="D16" s="4" t="inlineStr">
        <is>
          <t>mañana</t>
        </is>
      </c>
      <c r="E16" s="5" t="n">
        <v>83.62</v>
      </c>
      <c r="F16" s="5" t="n">
        <v>10.07</v>
      </c>
      <c r="G16" s="6" t="n">
        <v>14</v>
      </c>
      <c r="I16" s="7" t="inlineStr">
        <is>
          <t>Cuartil 3 (Q3 - Mbps)</t>
        </is>
      </c>
      <c r="J16" s="5">
        <f>QUARTILE.INC(E4:E33, 3)</f>
        <v/>
      </c>
    </row>
    <row r="17">
      <c r="A17" s="4" t="n">
        <v>14</v>
      </c>
      <c r="B17" s="4" t="inlineStr">
        <is>
          <t>08/09/2026</t>
        </is>
      </c>
      <c r="C17" s="4" t="inlineStr">
        <is>
          <t>16:55</t>
        </is>
      </c>
      <c r="D17" s="4" t="inlineStr">
        <is>
          <t>tarde</t>
        </is>
      </c>
      <c r="E17" s="5" t="n">
        <v>79.95999999999999</v>
      </c>
      <c r="F17" s="5" t="n">
        <v>10.09</v>
      </c>
      <c r="G17" s="6" t="n">
        <v>14</v>
      </c>
      <c r="I17" s="7" t="inlineStr">
        <is>
          <t>Rango Intercuartílico (IQR)</t>
        </is>
      </c>
      <c r="J17" s="5">
        <f>J16-J14</f>
        <v/>
      </c>
    </row>
    <row r="18">
      <c r="A18" s="4" t="n">
        <v>15</v>
      </c>
      <c r="B18" s="4" t="inlineStr">
        <is>
          <t>08/09/2026</t>
        </is>
      </c>
      <c r="C18" s="4" t="inlineStr">
        <is>
          <t>19:18</t>
        </is>
      </c>
      <c r="D18" s="4" t="inlineStr">
        <is>
          <t>noche</t>
        </is>
      </c>
      <c r="E18" s="5" t="n">
        <v>63.5</v>
      </c>
      <c r="F18" s="5" t="n">
        <v>10.12</v>
      </c>
      <c r="G18" s="6" t="n">
        <v>12</v>
      </c>
    </row>
    <row r="19">
      <c r="A19" s="4" t="n">
        <v>16</v>
      </c>
      <c r="B19" s="4" t="inlineStr">
        <is>
          <t>09/09/2026</t>
        </is>
      </c>
      <c r="C19" s="4" t="inlineStr">
        <is>
          <t>8:08</t>
        </is>
      </c>
      <c r="D19" s="4" t="inlineStr">
        <is>
          <t>mañana</t>
        </is>
      </c>
      <c r="E19" s="5" t="n">
        <v>82.81</v>
      </c>
      <c r="F19" s="5" t="n">
        <v>9.720000000000001</v>
      </c>
      <c r="G19" s="6" t="n">
        <v>11</v>
      </c>
    </row>
    <row r="20">
      <c r="A20" s="4" t="n">
        <v>17</v>
      </c>
      <c r="B20" s="4" t="inlineStr">
        <is>
          <t>09/09/2026</t>
        </is>
      </c>
      <c r="C20" s="4" t="inlineStr">
        <is>
          <t>13:25</t>
        </is>
      </c>
      <c r="D20" s="4" t="inlineStr">
        <is>
          <t>tarde</t>
        </is>
      </c>
      <c r="E20" s="5" t="n">
        <v>73.98999999999999</v>
      </c>
      <c r="F20" s="5" t="n">
        <v>10.11</v>
      </c>
      <c r="G20" s="6" t="n">
        <v>14</v>
      </c>
    </row>
    <row r="21">
      <c r="A21" s="4" t="n">
        <v>18</v>
      </c>
      <c r="B21" s="4" t="inlineStr">
        <is>
          <t>09/09/2026</t>
        </is>
      </c>
      <c r="C21" s="4" t="inlineStr">
        <is>
          <t>22:20</t>
        </is>
      </c>
      <c r="D21" s="4" t="inlineStr">
        <is>
          <t>noche</t>
        </is>
      </c>
      <c r="E21" s="5" t="n">
        <v>78.06</v>
      </c>
      <c r="F21" s="5" t="n">
        <v>10.06</v>
      </c>
      <c r="G21" s="6" t="n">
        <v>18</v>
      </c>
    </row>
    <row r="22">
      <c r="A22" s="4" t="n">
        <v>19</v>
      </c>
      <c r="B22" s="4" t="inlineStr">
        <is>
          <t>10/09/2026</t>
        </is>
      </c>
      <c r="C22" s="4" t="inlineStr">
        <is>
          <t>8:30</t>
        </is>
      </c>
      <c r="D22" s="4" t="inlineStr">
        <is>
          <t>mañana</t>
        </is>
      </c>
      <c r="E22" s="5" t="n">
        <v>83.39</v>
      </c>
      <c r="F22" s="5" t="n">
        <v>9.83</v>
      </c>
      <c r="G22" s="6" t="n">
        <v>12</v>
      </c>
    </row>
    <row r="23">
      <c r="A23" s="4" t="n">
        <v>20</v>
      </c>
      <c r="B23" s="4" t="inlineStr">
        <is>
          <t>10/09/2026</t>
        </is>
      </c>
      <c r="C23" s="4" t="inlineStr">
        <is>
          <t>16:50</t>
        </is>
      </c>
      <c r="D23" s="4" t="inlineStr">
        <is>
          <t>tarde</t>
        </is>
      </c>
      <c r="E23" s="5" t="n">
        <v>82.3</v>
      </c>
      <c r="F23" s="5" t="n">
        <v>10.11</v>
      </c>
      <c r="G23" s="6" t="n">
        <v>14</v>
      </c>
    </row>
    <row r="24">
      <c r="A24" s="4" t="n">
        <v>21</v>
      </c>
      <c r="B24" s="4" t="inlineStr">
        <is>
          <t>10/09/2026</t>
        </is>
      </c>
      <c r="C24" s="4" t="inlineStr">
        <is>
          <t>22:20</t>
        </is>
      </c>
      <c r="D24" s="4" t="inlineStr">
        <is>
          <t>noche</t>
        </is>
      </c>
      <c r="E24" s="5" t="n">
        <v>11.15</v>
      </c>
      <c r="F24" s="5" t="n">
        <v>5.69</v>
      </c>
      <c r="G24" s="6" t="n">
        <v>28</v>
      </c>
    </row>
    <row r="25">
      <c r="A25" s="4" t="n">
        <v>22</v>
      </c>
      <c r="B25" s="4" t="inlineStr">
        <is>
          <t>11/09/2026</t>
        </is>
      </c>
      <c r="C25" s="4" t="inlineStr">
        <is>
          <t>6:24</t>
        </is>
      </c>
      <c r="D25" s="4" t="inlineStr">
        <is>
          <t>mañana</t>
        </is>
      </c>
      <c r="E25" s="5" t="n">
        <v>80.06</v>
      </c>
      <c r="F25" s="5" t="n">
        <v>9.710000000000001</v>
      </c>
      <c r="G25" s="6" t="n">
        <v>11</v>
      </c>
    </row>
    <row r="26">
      <c r="A26" s="4" t="n">
        <v>23</v>
      </c>
      <c r="B26" s="4" t="inlineStr">
        <is>
          <t>11/09/2026</t>
        </is>
      </c>
      <c r="C26" s="4" t="inlineStr">
        <is>
          <t>18:58</t>
        </is>
      </c>
      <c r="D26" s="4" t="inlineStr">
        <is>
          <t>tarde</t>
        </is>
      </c>
      <c r="E26" s="5" t="n">
        <v>78.91</v>
      </c>
      <c r="F26" s="5" t="n">
        <v>10.11</v>
      </c>
      <c r="G26" s="6" t="n">
        <v>11</v>
      </c>
    </row>
    <row r="27">
      <c r="A27" s="4" t="n">
        <v>24</v>
      </c>
      <c r="B27" s="4" t="inlineStr">
        <is>
          <t>11/09/2026</t>
        </is>
      </c>
      <c r="C27" s="4" t="inlineStr">
        <is>
          <t>nan</t>
        </is>
      </c>
      <c r="D27" s="4" t="inlineStr">
        <is>
          <t>noche</t>
        </is>
      </c>
      <c r="E27" s="5" t="n">
        <v>80.34</v>
      </c>
      <c r="F27" s="5" t="n">
        <v>10.04</v>
      </c>
      <c r="G27" s="6" t="n">
        <v>13</v>
      </c>
    </row>
    <row r="28">
      <c r="A28" s="4" t="n">
        <v>25</v>
      </c>
      <c r="B28" s="4" t="inlineStr">
        <is>
          <t>13/09/26</t>
        </is>
      </c>
      <c r="C28" s="4" t="inlineStr">
        <is>
          <t>8:55</t>
        </is>
      </c>
      <c r="D28" s="4" t="inlineStr">
        <is>
          <t>mañana</t>
        </is>
      </c>
      <c r="E28" s="5" t="n">
        <v>72.08</v>
      </c>
      <c r="F28" s="5" t="n">
        <v>9.81</v>
      </c>
      <c r="G28" s="6" t="n">
        <v>12</v>
      </c>
    </row>
    <row r="29">
      <c r="A29" s="4" t="n">
        <v>26</v>
      </c>
      <c r="B29" s="4" t="inlineStr">
        <is>
          <t>13/09/26</t>
        </is>
      </c>
      <c r="C29" s="4" t="inlineStr">
        <is>
          <t>3:30</t>
        </is>
      </c>
      <c r="D29" s="4" t="inlineStr">
        <is>
          <t>tarde</t>
        </is>
      </c>
      <c r="E29" s="5" t="n">
        <v>76.51000000000001</v>
      </c>
      <c r="F29" s="5" t="n">
        <v>10.21</v>
      </c>
      <c r="G29" s="6" t="n">
        <v>19</v>
      </c>
    </row>
    <row r="30">
      <c r="A30" s="4" t="n">
        <v>27</v>
      </c>
      <c r="B30" s="4" t="inlineStr">
        <is>
          <t>13/09/26</t>
        </is>
      </c>
      <c r="C30" s="4" t="inlineStr">
        <is>
          <t>21:58</t>
        </is>
      </c>
      <c r="D30" s="4" t="inlineStr">
        <is>
          <t>noche</t>
        </is>
      </c>
      <c r="E30" s="5" t="n">
        <v>80.64</v>
      </c>
      <c r="F30" s="5" t="n">
        <v>10.05</v>
      </c>
      <c r="G30" s="6" t="n">
        <v>17</v>
      </c>
    </row>
    <row r="31">
      <c r="A31" s="4" t="n">
        <v>28</v>
      </c>
      <c r="B31" s="4" t="inlineStr">
        <is>
          <t>14/09/26</t>
        </is>
      </c>
      <c r="C31" s="4" t="inlineStr">
        <is>
          <t>6:38</t>
        </is>
      </c>
      <c r="D31" s="4" t="inlineStr">
        <is>
          <t>mañana</t>
        </is>
      </c>
      <c r="E31" s="5" t="n">
        <v>78.53</v>
      </c>
      <c r="F31" s="5" t="n">
        <v>10.13</v>
      </c>
      <c r="G31" s="6" t="n">
        <v>12</v>
      </c>
    </row>
    <row r="32">
      <c r="A32" s="4" t="n">
        <v>29</v>
      </c>
      <c r="B32" s="4" t="inlineStr">
        <is>
          <t>14/09/26</t>
        </is>
      </c>
      <c r="C32" s="4" t="inlineStr">
        <is>
          <t>15:28</t>
        </is>
      </c>
      <c r="D32" s="4" t="inlineStr">
        <is>
          <t>tarde</t>
        </is>
      </c>
      <c r="E32" s="5" t="n">
        <v>80.78</v>
      </c>
      <c r="F32" s="5" t="n">
        <v>10.07</v>
      </c>
      <c r="G32" s="6" t="n">
        <v>12</v>
      </c>
    </row>
    <row r="33">
      <c r="A33" s="4" t="n">
        <v>30</v>
      </c>
      <c r="B33" s="4" t="inlineStr">
        <is>
          <t>14/09/26</t>
        </is>
      </c>
      <c r="C33" s="4" t="inlineStr">
        <is>
          <t>19:02</t>
        </is>
      </c>
      <c r="D33" s="4" t="inlineStr">
        <is>
          <t>noche</t>
        </is>
      </c>
      <c r="E33" s="5" t="n">
        <v>83.31</v>
      </c>
      <c r="F33" s="5" t="n">
        <v>9.949999999999999</v>
      </c>
      <c r="G33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2026-09-23T00:30:09Z</dcterms:created>
  <dcterms:modified xsi:type="dcterms:W3CDTF">2026-09-23T00:30:09Z</dcterms:modified>
</cp:coreProperties>
</file>